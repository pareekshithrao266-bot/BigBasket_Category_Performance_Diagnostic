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12090" firstSheet="1" activeTab="3"/>
  </bookViews>
  <sheets>
    <sheet name="pivot_table" sheetId="4" r:id="rId1"/>
    <sheet name="monthly_category_revenue" sheetId="1" r:id="rId2"/>
    <sheet name="Category targets" sheetId="2" r:id="rId3"/>
    <sheet name="category  summary" sheetId="5" r:id="rId4"/>
  </sheets>
  <calcPr calcId="0"/>
  <pivotCaches>
    <pivotCache cacheId="5" r:id="rId5"/>
  </pivotCaches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2" i="5"/>
  <c r="E3" i="5"/>
  <c r="E4" i="5"/>
  <c r="E5" i="5"/>
  <c r="E6" i="5"/>
  <c r="E7" i="5"/>
  <c r="E2" i="5"/>
  <c r="D3" i="5"/>
  <c r="D4" i="5"/>
  <c r="D5" i="5"/>
  <c r="D6" i="5"/>
  <c r="D7" i="5"/>
  <c r="D2" i="5"/>
  <c r="C3" i="5"/>
  <c r="C4" i="5"/>
  <c r="C5" i="5"/>
  <c r="C6" i="5"/>
  <c r="C7" i="5"/>
  <c r="C2" i="5"/>
  <c r="B6" i="5"/>
  <c r="B4" i="5"/>
  <c r="B7" i="5"/>
  <c r="B5" i="5"/>
  <c r="B3" i="5"/>
  <c r="B2" i="5"/>
</calcChain>
</file>

<file path=xl/sharedStrings.xml><?xml version="1.0" encoding="utf-8"?>
<sst xmlns="http://schemas.openxmlformats.org/spreadsheetml/2006/main" count="115" uniqueCount="29">
  <si>
    <t>category</t>
  </si>
  <si>
    <t>month</t>
  </si>
  <si>
    <t>order_count</t>
  </si>
  <si>
    <t>total_revenue</t>
  </si>
  <si>
    <t>avg_revenue</t>
  </si>
  <si>
    <t>Bakery</t>
  </si>
  <si>
    <t>2026-01</t>
  </si>
  <si>
    <t>2026-02</t>
  </si>
  <si>
    <t>2026-03</t>
  </si>
  <si>
    <t>2026-04</t>
  </si>
  <si>
    <t>2026-05</t>
  </si>
  <si>
    <t>2026-06</t>
  </si>
  <si>
    <t>Dairy &amp; Eggs</t>
  </si>
  <si>
    <t>Fruits &amp; Vegetables</t>
  </si>
  <si>
    <t>Household Essentials</t>
  </si>
  <si>
    <t>Personal Care</t>
  </si>
  <si>
    <t>Snacks &amp; Beverages</t>
  </si>
  <si>
    <t>target_revenue_inr</t>
  </si>
  <si>
    <t>Row Labels</t>
  </si>
  <si>
    <t>(blank)</t>
  </si>
  <si>
    <t>Grand Total</t>
  </si>
  <si>
    <t>Sum of total_revenue</t>
  </si>
  <si>
    <t>Sum of order_count</t>
  </si>
  <si>
    <t>variance</t>
  </si>
  <si>
    <t>percentage_variance</t>
  </si>
  <si>
    <t>status_tag</t>
  </si>
  <si>
    <t>Matches Part 1 SQL total?</t>
  </si>
  <si>
    <t>yes</t>
  </si>
  <si>
    <t>total_revenue_inr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</si>
</sst>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0;[Red]0.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415173"/>
      <name val="Inter"/>
    </font>
    <font>
      <sz val="11"/>
      <color rgb="FF415173"/>
      <name val="Inte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0D7DE"/>
      </left>
      <right style="medium">
        <color rgb="FFD0D7DE"/>
      </right>
      <top style="medium">
        <color rgb="FFD0D7DE"/>
      </top>
      <bottom style="medium">
        <color rgb="FFD0D7D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6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9" fillId="33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left" vertical="center" wrapText="1" indent="1"/>
    </xf>
    <xf numFmtId="0" fontId="20" fillId="34" borderId="10" xfId="0" applyFont="1" applyFill="1" applyBorder="1" applyAlignment="1">
      <alignment horizontal="left" vertical="center" wrapText="1" inden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RAJWAL" refreshedDate="46280.0122505787" createdVersion="4" refreshedVersion="4" minRefreshableVersion="3" recordCount="37">
  <cacheSource type="worksheet">
    <worksheetSource ref="A1:E1048576" sheet="monthly_category_revenue"/>
  </cacheSource>
  <cacheFields count="5">
    <cacheField name="category" numFmtId="0">
      <sharedItems containsBlank="1" count="7">
        <s v="Bakery"/>
        <s v="Dairy &amp; Eggs"/>
        <s v="Fruits &amp; Vegetables"/>
        <s v="Household Essentials"/>
        <s v="Personal Care"/>
        <s v="Snacks &amp; Beverages"/>
        <m/>
      </sharedItems>
    </cacheField>
    <cacheField name="month" numFmtId="0">
      <sharedItems containsBlank="1"/>
    </cacheField>
    <cacheField name="order_count" numFmtId="0">
      <sharedItems containsString="0" containsBlank="1" containsNumber="1" containsInteger="1" minValue="6" maxValue="19"/>
    </cacheField>
    <cacheField name="total_revenue" numFmtId="0">
      <sharedItems containsString="0" containsBlank="1" containsNumber="1" containsInteger="1" minValue="735" maxValue="5491" count="36">
        <n v="735"/>
        <n v="2440"/>
        <n v="3090"/>
        <n v="3115"/>
        <n v="3695"/>
        <n v="2335"/>
        <n v="2035"/>
        <n v="1935"/>
        <n v="3163"/>
        <n v="1650"/>
        <n v="3479"/>
        <n v="1828"/>
        <n v="1290"/>
        <n v="2090"/>
        <n v="2080"/>
        <n v="1400"/>
        <n v="1870"/>
        <n v="1060"/>
        <n v="2099"/>
        <n v="5113"/>
        <n v="1885"/>
        <n v="5491"/>
        <n v="3477"/>
        <n v="3650"/>
        <n v="3608"/>
        <n v="2177"/>
        <n v="2807"/>
        <n v="1970"/>
        <n v="3045"/>
        <n v="2775"/>
        <n v="1330"/>
        <n v="1670"/>
        <n v="2980"/>
        <n v="1665"/>
        <n v="1960"/>
        <m/>
      </sharedItems>
    </cacheField>
    <cacheField name="avg_revenue" numFmtId="0">
      <sharedItems containsString="0" containsBlank="1" containsNumber="1" minValue="100" maxValue="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7">
  <r>
    <x v="0"/>
    <s v="2026-01"/>
    <n v="6"/>
    <x v="0"/>
    <n v="122.5"/>
  </r>
  <r>
    <x v="0"/>
    <s v="2026-02"/>
    <n v="8"/>
    <x v="1"/>
    <n v="305"/>
  </r>
  <r>
    <x v="0"/>
    <s v="2026-03"/>
    <n v="11"/>
    <x v="2"/>
    <n v="280.90909090909003"/>
  </r>
  <r>
    <x v="0"/>
    <s v="2026-04"/>
    <n v="13"/>
    <x v="3"/>
    <n v="239.61538461538399"/>
  </r>
  <r>
    <x v="0"/>
    <s v="2026-05"/>
    <n v="15"/>
    <x v="4"/>
    <n v="246.333333333333"/>
  </r>
  <r>
    <x v="0"/>
    <s v="2026-06"/>
    <n v="14"/>
    <x v="5"/>
    <n v="166.78571428571399"/>
  </r>
  <r>
    <x v="1"/>
    <s v="2026-01"/>
    <n v="9"/>
    <x v="6"/>
    <n v="226.111111111111"/>
  </r>
  <r>
    <x v="1"/>
    <s v="2026-02"/>
    <n v="8"/>
    <x v="7"/>
    <n v="241.875"/>
  </r>
  <r>
    <x v="1"/>
    <s v="2026-03"/>
    <n v="15"/>
    <x v="8"/>
    <n v="210.86666666666599"/>
  </r>
  <r>
    <x v="1"/>
    <s v="2026-04"/>
    <n v="9"/>
    <x v="9"/>
    <n v="183.333333333333"/>
  </r>
  <r>
    <x v="1"/>
    <s v="2026-05"/>
    <n v="14"/>
    <x v="10"/>
    <n v="248.5"/>
  </r>
  <r>
    <x v="1"/>
    <s v="2026-06"/>
    <n v="11"/>
    <x v="11"/>
    <n v="166.18181818181799"/>
  </r>
  <r>
    <x v="2"/>
    <s v="2026-01"/>
    <n v="12"/>
    <x v="12"/>
    <n v="107.5"/>
  </r>
  <r>
    <x v="2"/>
    <s v="2026-02"/>
    <n v="13"/>
    <x v="13"/>
    <n v="160.76923076923001"/>
  </r>
  <r>
    <x v="2"/>
    <s v="2026-03"/>
    <n v="13"/>
    <x v="14"/>
    <n v="160"/>
  </r>
  <r>
    <x v="2"/>
    <s v="2026-04"/>
    <n v="14"/>
    <x v="15"/>
    <n v="100"/>
  </r>
  <r>
    <x v="2"/>
    <s v="2026-05"/>
    <n v="12"/>
    <x v="16"/>
    <n v="155.833333333333"/>
  </r>
  <r>
    <x v="2"/>
    <s v="2026-06"/>
    <n v="9"/>
    <x v="17"/>
    <n v="117.777777777777"/>
  </r>
  <r>
    <x v="3"/>
    <s v="2026-01"/>
    <n v="10"/>
    <x v="18"/>
    <n v="209.9"/>
  </r>
  <r>
    <x v="3"/>
    <s v="2026-02"/>
    <n v="16"/>
    <x v="19"/>
    <n v="319.5625"/>
  </r>
  <r>
    <x v="3"/>
    <s v="2026-03"/>
    <n v="8"/>
    <x v="20"/>
    <n v="235.625"/>
  </r>
  <r>
    <x v="3"/>
    <s v="2026-04"/>
    <n v="17"/>
    <x v="21"/>
    <n v="323"/>
  </r>
  <r>
    <x v="3"/>
    <s v="2026-05"/>
    <n v="16"/>
    <x v="22"/>
    <n v="217.3125"/>
  </r>
  <r>
    <x v="3"/>
    <s v="2026-06"/>
    <n v="12"/>
    <x v="23"/>
    <n v="304.166666666666"/>
  </r>
  <r>
    <x v="4"/>
    <s v="2026-01"/>
    <n v="12"/>
    <x v="24"/>
    <n v="300.666666666666"/>
  </r>
  <r>
    <x v="4"/>
    <s v="2026-02"/>
    <n v="8"/>
    <x v="25"/>
    <n v="272.125"/>
  </r>
  <r>
    <x v="4"/>
    <s v="2026-03"/>
    <n v="11"/>
    <x v="26"/>
    <n v="255.18181818181799"/>
  </r>
  <r>
    <x v="4"/>
    <s v="2026-04"/>
    <n v="9"/>
    <x v="27"/>
    <n v="218.888888888888"/>
  </r>
  <r>
    <x v="4"/>
    <s v="2026-05"/>
    <n v="13"/>
    <x v="28"/>
    <n v="234.230769230769"/>
  </r>
  <r>
    <x v="4"/>
    <s v="2026-06"/>
    <n v="13"/>
    <x v="29"/>
    <n v="213.461538461538"/>
  </r>
  <r>
    <x v="5"/>
    <s v="2026-01"/>
    <n v="10"/>
    <x v="12"/>
    <n v="129"/>
  </r>
  <r>
    <x v="5"/>
    <s v="2026-02"/>
    <n v="11"/>
    <x v="30"/>
    <n v="120.90909090909"/>
  </r>
  <r>
    <x v="5"/>
    <s v="2026-03"/>
    <n v="15"/>
    <x v="31"/>
    <n v="111.333333333333"/>
  </r>
  <r>
    <x v="5"/>
    <s v="2026-04"/>
    <n v="19"/>
    <x v="32"/>
    <n v="156.84210526315701"/>
  </r>
  <r>
    <x v="5"/>
    <s v="2026-05"/>
    <n v="13"/>
    <x v="33"/>
    <n v="128.07692307692301"/>
  </r>
  <r>
    <x v="5"/>
    <s v="2026-06"/>
    <n v="15"/>
    <x v="34"/>
    <n v="130.666666666666"/>
  </r>
  <r>
    <x v="6"/>
    <m/>
    <m/>
    <x v="3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11" firstHeaderRow="0" firstDataRow="1" firstDataCol="1"/>
  <pivotFields count="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dataField="1" showAll="0"/>
    <pivotField dataField="1" showAll="0">
      <items count="37">
        <item x="0"/>
        <item x="17"/>
        <item x="12"/>
        <item x="30"/>
        <item x="15"/>
        <item x="9"/>
        <item x="33"/>
        <item x="31"/>
        <item x="11"/>
        <item x="16"/>
        <item x="20"/>
        <item x="7"/>
        <item x="34"/>
        <item x="27"/>
        <item x="6"/>
        <item x="14"/>
        <item x="13"/>
        <item x="18"/>
        <item x="25"/>
        <item x="5"/>
        <item x="1"/>
        <item x="29"/>
        <item x="26"/>
        <item x="32"/>
        <item x="28"/>
        <item x="2"/>
        <item x="3"/>
        <item x="8"/>
        <item x="22"/>
        <item x="10"/>
        <item x="24"/>
        <item x="23"/>
        <item x="4"/>
        <item x="19"/>
        <item x="21"/>
        <item x="35"/>
        <item t="default"/>
      </items>
    </pivotField>
    <pivotField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3" baseField="0" baseItem="0"/>
    <dataField name="Sum of order_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1"/>
  <sheetViews>
    <sheetView topLeftCell="B1" workbookViewId="0">
      <selection activeCell="B4" sqref="B4"/>
    </sheetView>
  </sheetViews>
  <sheetFormatPr defaultRowHeight="15"/>
  <cols>
    <col min="1" max="1" width="20" customWidth="1"/>
    <col min="2" max="2" width="20.42578125" customWidth="1"/>
    <col min="3" max="3" width="18.7109375" customWidth="1"/>
    <col min="4" max="36" width="5" customWidth="1"/>
    <col min="37" max="37" width="7.28515625" customWidth="1"/>
    <col min="38" max="38" width="11.28515625" bestFit="1" customWidth="1"/>
  </cols>
  <sheetData>
    <row r="3" spans="1:3">
      <c r="A3" s="6" t="s">
        <v>18</v>
      </c>
      <c r="B3" t="s">
        <v>21</v>
      </c>
      <c r="C3" t="s">
        <v>22</v>
      </c>
    </row>
    <row r="4" spans="1:3">
      <c r="A4" s="7" t="s">
        <v>5</v>
      </c>
      <c r="B4" s="8">
        <v>15410</v>
      </c>
      <c r="C4" s="8">
        <v>67</v>
      </c>
    </row>
    <row r="5" spans="1:3">
      <c r="A5" s="7" t="s">
        <v>12</v>
      </c>
      <c r="B5" s="8">
        <v>14090</v>
      </c>
      <c r="C5" s="8">
        <v>66</v>
      </c>
    </row>
    <row r="6" spans="1:3">
      <c r="A6" s="7" t="s">
        <v>13</v>
      </c>
      <c r="B6" s="8">
        <v>9790</v>
      </c>
      <c r="C6" s="8">
        <v>73</v>
      </c>
    </row>
    <row r="7" spans="1:3">
      <c r="A7" s="7" t="s">
        <v>14</v>
      </c>
      <c r="B7" s="8">
        <v>21715</v>
      </c>
      <c r="C7" s="8">
        <v>79</v>
      </c>
    </row>
    <row r="8" spans="1:3">
      <c r="A8" s="7" t="s">
        <v>15</v>
      </c>
      <c r="B8" s="8">
        <v>16382</v>
      </c>
      <c r="C8" s="8">
        <v>66</v>
      </c>
    </row>
    <row r="9" spans="1:3">
      <c r="A9" s="7" t="s">
        <v>16</v>
      </c>
      <c r="B9" s="8">
        <v>10895</v>
      </c>
      <c r="C9" s="8">
        <v>83</v>
      </c>
    </row>
    <row r="10" spans="1:3">
      <c r="A10" s="7" t="s">
        <v>19</v>
      </c>
      <c r="B10" s="8"/>
      <c r="C10" s="8"/>
    </row>
    <row r="11" spans="1:3">
      <c r="A11" s="7" t="s">
        <v>20</v>
      </c>
      <c r="B11" s="8">
        <v>88282</v>
      </c>
      <c r="C11" s="8">
        <v>434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7"/>
  <sheetViews>
    <sheetView workbookViewId="0">
      <selection activeCell="E40" sqref="E40"/>
    </sheetView>
  </sheetViews>
  <sheetFormatPr defaultRowHeight="15"/>
  <cols>
    <col min="1" max="1" width="20.7109375" customWidth="1"/>
    <col min="2" max="2" width="13.7109375" customWidth="1"/>
    <col min="3" max="3" width="16.5703125" customWidth="1"/>
    <col min="4" max="4" width="14.7109375" customWidth="1"/>
    <col min="5" max="5" width="13.28515625" customWidth="1"/>
  </cols>
  <sheetData>
    <row r="1" spans="1:5" s="2" customFormat="1" ht="15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>
        <v>6</v>
      </c>
      <c r="D2">
        <v>735</v>
      </c>
      <c r="E2">
        <v>122.5</v>
      </c>
    </row>
    <row r="3" spans="1:5">
      <c r="A3" t="s">
        <v>5</v>
      </c>
      <c r="B3" t="s">
        <v>7</v>
      </c>
      <c r="C3">
        <v>8</v>
      </c>
      <c r="D3">
        <v>2440</v>
      </c>
      <c r="E3">
        <v>305</v>
      </c>
    </row>
    <row r="4" spans="1:5">
      <c r="A4" t="s">
        <v>5</v>
      </c>
      <c r="B4" t="s">
        <v>8</v>
      </c>
      <c r="C4">
        <v>11</v>
      </c>
      <c r="D4">
        <v>3090</v>
      </c>
      <c r="E4">
        <v>280.90909090909003</v>
      </c>
    </row>
    <row r="5" spans="1:5">
      <c r="A5" t="s">
        <v>5</v>
      </c>
      <c r="B5" t="s">
        <v>9</v>
      </c>
      <c r="C5">
        <v>13</v>
      </c>
      <c r="D5">
        <v>3115</v>
      </c>
      <c r="E5">
        <v>239.61538461538399</v>
      </c>
    </row>
    <row r="6" spans="1:5">
      <c r="A6" t="s">
        <v>5</v>
      </c>
      <c r="B6" t="s">
        <v>10</v>
      </c>
      <c r="C6">
        <v>15</v>
      </c>
      <c r="D6">
        <v>3695</v>
      </c>
      <c r="E6">
        <v>246.333333333333</v>
      </c>
    </row>
    <row r="7" spans="1:5">
      <c r="A7" t="s">
        <v>5</v>
      </c>
      <c r="B7" t="s">
        <v>11</v>
      </c>
      <c r="C7">
        <v>14</v>
      </c>
      <c r="D7">
        <v>2335</v>
      </c>
      <c r="E7">
        <v>166.78571428571399</v>
      </c>
    </row>
    <row r="8" spans="1:5">
      <c r="A8" t="s">
        <v>12</v>
      </c>
      <c r="B8" t="s">
        <v>6</v>
      </c>
      <c r="C8">
        <v>9</v>
      </c>
      <c r="D8">
        <v>2035</v>
      </c>
      <c r="E8">
        <v>226.111111111111</v>
      </c>
    </row>
    <row r="9" spans="1:5">
      <c r="A9" t="s">
        <v>12</v>
      </c>
      <c r="B9" t="s">
        <v>7</v>
      </c>
      <c r="C9">
        <v>8</v>
      </c>
      <c r="D9">
        <v>1935</v>
      </c>
      <c r="E9">
        <v>241.875</v>
      </c>
    </row>
    <row r="10" spans="1:5">
      <c r="A10" t="s">
        <v>12</v>
      </c>
      <c r="B10" t="s">
        <v>8</v>
      </c>
      <c r="C10">
        <v>15</v>
      </c>
      <c r="D10">
        <v>3163</v>
      </c>
      <c r="E10">
        <v>210.86666666666599</v>
      </c>
    </row>
    <row r="11" spans="1:5">
      <c r="A11" t="s">
        <v>12</v>
      </c>
      <c r="B11" t="s">
        <v>9</v>
      </c>
      <c r="C11">
        <v>9</v>
      </c>
      <c r="D11">
        <v>1650</v>
      </c>
      <c r="E11">
        <v>183.333333333333</v>
      </c>
    </row>
    <row r="12" spans="1:5">
      <c r="A12" t="s">
        <v>12</v>
      </c>
      <c r="B12" t="s">
        <v>10</v>
      </c>
      <c r="C12">
        <v>14</v>
      </c>
      <c r="D12">
        <v>3479</v>
      </c>
      <c r="E12">
        <v>248.5</v>
      </c>
    </row>
    <row r="13" spans="1:5">
      <c r="A13" t="s">
        <v>12</v>
      </c>
      <c r="B13" t="s">
        <v>11</v>
      </c>
      <c r="C13">
        <v>11</v>
      </c>
      <c r="D13">
        <v>1828</v>
      </c>
      <c r="E13">
        <v>166.18181818181799</v>
      </c>
    </row>
    <row r="14" spans="1:5">
      <c r="A14" t="s">
        <v>13</v>
      </c>
      <c r="B14" t="s">
        <v>6</v>
      </c>
      <c r="C14">
        <v>12</v>
      </c>
      <c r="D14">
        <v>1290</v>
      </c>
      <c r="E14">
        <v>107.5</v>
      </c>
    </row>
    <row r="15" spans="1:5">
      <c r="A15" t="s">
        <v>13</v>
      </c>
      <c r="B15" t="s">
        <v>7</v>
      </c>
      <c r="C15">
        <v>13</v>
      </c>
      <c r="D15">
        <v>2090</v>
      </c>
      <c r="E15">
        <v>160.76923076923001</v>
      </c>
    </row>
    <row r="16" spans="1:5">
      <c r="A16" t="s">
        <v>13</v>
      </c>
      <c r="B16" t="s">
        <v>8</v>
      </c>
      <c r="C16">
        <v>13</v>
      </c>
      <c r="D16">
        <v>2080</v>
      </c>
      <c r="E16">
        <v>160</v>
      </c>
    </row>
    <row r="17" spans="1:5">
      <c r="A17" t="s">
        <v>13</v>
      </c>
      <c r="B17" t="s">
        <v>9</v>
      </c>
      <c r="C17">
        <v>14</v>
      </c>
      <c r="D17">
        <v>1400</v>
      </c>
      <c r="E17">
        <v>100</v>
      </c>
    </row>
    <row r="18" spans="1:5">
      <c r="A18" t="s">
        <v>13</v>
      </c>
      <c r="B18" t="s">
        <v>10</v>
      </c>
      <c r="C18">
        <v>12</v>
      </c>
      <c r="D18">
        <v>1870</v>
      </c>
      <c r="E18">
        <v>155.833333333333</v>
      </c>
    </row>
    <row r="19" spans="1:5">
      <c r="A19" t="s">
        <v>13</v>
      </c>
      <c r="B19" t="s">
        <v>11</v>
      </c>
      <c r="C19">
        <v>9</v>
      </c>
      <c r="D19">
        <v>1060</v>
      </c>
      <c r="E19">
        <v>117.777777777777</v>
      </c>
    </row>
    <row r="20" spans="1:5">
      <c r="A20" t="s">
        <v>14</v>
      </c>
      <c r="B20" t="s">
        <v>6</v>
      </c>
      <c r="C20">
        <v>10</v>
      </c>
      <c r="D20">
        <v>2099</v>
      </c>
      <c r="E20">
        <v>209.9</v>
      </c>
    </row>
    <row r="21" spans="1:5">
      <c r="A21" t="s">
        <v>14</v>
      </c>
      <c r="B21" t="s">
        <v>7</v>
      </c>
      <c r="C21">
        <v>16</v>
      </c>
      <c r="D21">
        <v>5113</v>
      </c>
      <c r="E21">
        <v>319.5625</v>
      </c>
    </row>
    <row r="22" spans="1:5">
      <c r="A22" t="s">
        <v>14</v>
      </c>
      <c r="B22" t="s">
        <v>8</v>
      </c>
      <c r="C22">
        <v>8</v>
      </c>
      <c r="D22">
        <v>1885</v>
      </c>
      <c r="E22">
        <v>235.625</v>
      </c>
    </row>
    <row r="23" spans="1:5">
      <c r="A23" t="s">
        <v>14</v>
      </c>
      <c r="B23" t="s">
        <v>9</v>
      </c>
      <c r="C23">
        <v>17</v>
      </c>
      <c r="D23">
        <v>5491</v>
      </c>
      <c r="E23">
        <v>323</v>
      </c>
    </row>
    <row r="24" spans="1:5">
      <c r="A24" t="s">
        <v>14</v>
      </c>
      <c r="B24" t="s">
        <v>10</v>
      </c>
      <c r="C24">
        <v>16</v>
      </c>
      <c r="D24">
        <v>3477</v>
      </c>
      <c r="E24">
        <v>217.3125</v>
      </c>
    </row>
    <row r="25" spans="1:5">
      <c r="A25" t="s">
        <v>14</v>
      </c>
      <c r="B25" t="s">
        <v>11</v>
      </c>
      <c r="C25">
        <v>12</v>
      </c>
      <c r="D25">
        <v>3650</v>
      </c>
      <c r="E25">
        <v>304.166666666666</v>
      </c>
    </row>
    <row r="26" spans="1:5">
      <c r="A26" t="s">
        <v>15</v>
      </c>
      <c r="B26" t="s">
        <v>6</v>
      </c>
      <c r="C26">
        <v>12</v>
      </c>
      <c r="D26">
        <v>3608</v>
      </c>
      <c r="E26">
        <v>300.666666666666</v>
      </c>
    </row>
    <row r="27" spans="1:5">
      <c r="A27" t="s">
        <v>15</v>
      </c>
      <c r="B27" t="s">
        <v>7</v>
      </c>
      <c r="C27">
        <v>8</v>
      </c>
      <c r="D27">
        <v>2177</v>
      </c>
      <c r="E27">
        <v>272.125</v>
      </c>
    </row>
    <row r="28" spans="1:5">
      <c r="A28" t="s">
        <v>15</v>
      </c>
      <c r="B28" t="s">
        <v>8</v>
      </c>
      <c r="C28">
        <v>11</v>
      </c>
      <c r="D28">
        <v>2807</v>
      </c>
      <c r="E28">
        <v>255.18181818181799</v>
      </c>
    </row>
    <row r="29" spans="1:5">
      <c r="A29" t="s">
        <v>15</v>
      </c>
      <c r="B29" t="s">
        <v>9</v>
      </c>
      <c r="C29">
        <v>9</v>
      </c>
      <c r="D29">
        <v>1970</v>
      </c>
      <c r="E29">
        <v>218.888888888888</v>
      </c>
    </row>
    <row r="30" spans="1:5">
      <c r="A30" t="s">
        <v>15</v>
      </c>
      <c r="B30" t="s">
        <v>10</v>
      </c>
      <c r="C30">
        <v>13</v>
      </c>
      <c r="D30">
        <v>3045</v>
      </c>
      <c r="E30">
        <v>234.230769230769</v>
      </c>
    </row>
    <row r="31" spans="1:5">
      <c r="A31" t="s">
        <v>15</v>
      </c>
      <c r="B31" t="s">
        <v>11</v>
      </c>
      <c r="C31">
        <v>13</v>
      </c>
      <c r="D31">
        <v>2775</v>
      </c>
      <c r="E31">
        <v>213.461538461538</v>
      </c>
    </row>
    <row r="32" spans="1:5">
      <c r="A32" t="s">
        <v>16</v>
      </c>
      <c r="B32" t="s">
        <v>6</v>
      </c>
      <c r="C32">
        <v>10</v>
      </c>
      <c r="D32">
        <v>1290</v>
      </c>
      <c r="E32">
        <v>129</v>
      </c>
    </row>
    <row r="33" spans="1:5">
      <c r="A33" t="s">
        <v>16</v>
      </c>
      <c r="B33" t="s">
        <v>7</v>
      </c>
      <c r="C33">
        <v>11</v>
      </c>
      <c r="D33">
        <v>1330</v>
      </c>
      <c r="E33">
        <v>120.90909090909</v>
      </c>
    </row>
    <row r="34" spans="1:5">
      <c r="A34" t="s">
        <v>16</v>
      </c>
      <c r="B34" t="s">
        <v>8</v>
      </c>
      <c r="C34">
        <v>15</v>
      </c>
      <c r="D34">
        <v>1670</v>
      </c>
      <c r="E34">
        <v>111.333333333333</v>
      </c>
    </row>
    <row r="35" spans="1:5">
      <c r="A35" t="s">
        <v>16</v>
      </c>
      <c r="B35" t="s">
        <v>9</v>
      </c>
      <c r="C35">
        <v>19</v>
      </c>
      <c r="D35">
        <v>2980</v>
      </c>
      <c r="E35">
        <v>156.84210526315701</v>
      </c>
    </row>
    <row r="36" spans="1:5">
      <c r="A36" t="s">
        <v>16</v>
      </c>
      <c r="B36" t="s">
        <v>10</v>
      </c>
      <c r="C36">
        <v>13</v>
      </c>
      <c r="D36">
        <v>1665</v>
      </c>
      <c r="E36">
        <v>128.07692307692301</v>
      </c>
    </row>
    <row r="37" spans="1:5">
      <c r="A37" t="s">
        <v>16</v>
      </c>
      <c r="B37" t="s">
        <v>11</v>
      </c>
      <c r="C37">
        <v>15</v>
      </c>
      <c r="D37">
        <v>1960</v>
      </c>
      <c r="E37">
        <v>130.666666666666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A2" sqref="A2"/>
    </sheetView>
  </sheetViews>
  <sheetFormatPr defaultRowHeight="15"/>
  <cols>
    <col min="1" max="1" width="19.7109375" customWidth="1"/>
    <col min="2" max="2" width="25.140625" customWidth="1"/>
  </cols>
  <sheetData>
    <row r="1" spans="1:2" ht="29.25" thickBot="1">
      <c r="A1" s="3" t="s">
        <v>0</v>
      </c>
      <c r="B1" s="3" t="s">
        <v>17</v>
      </c>
    </row>
    <row r="2" spans="1:2" ht="29.25" thickBot="1">
      <c r="A2" s="4" t="s">
        <v>13</v>
      </c>
      <c r="B2" s="4">
        <v>12000</v>
      </c>
    </row>
    <row r="3" spans="1:2" ht="29.25" thickBot="1">
      <c r="A3" s="5" t="s">
        <v>12</v>
      </c>
      <c r="B3" s="5">
        <v>16500</v>
      </c>
    </row>
    <row r="4" spans="1:2" ht="57.75" thickBot="1">
      <c r="A4" s="4" t="s">
        <v>16</v>
      </c>
      <c r="B4" s="4">
        <v>13000</v>
      </c>
    </row>
    <row r="5" spans="1:2" ht="29.25" thickBot="1">
      <c r="A5" s="5" t="s">
        <v>15</v>
      </c>
      <c r="B5" s="5">
        <v>15500</v>
      </c>
    </row>
    <row r="6" spans="1:2" ht="57.75" thickBot="1">
      <c r="A6" s="4" t="s">
        <v>14</v>
      </c>
      <c r="B6" s="4">
        <v>17000</v>
      </c>
    </row>
    <row r="7" spans="1:2" ht="15.75" thickBot="1">
      <c r="A7" s="5" t="s">
        <v>5</v>
      </c>
      <c r="B7" s="5">
        <v>12000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E18" sqref="E18"/>
    </sheetView>
  </sheetViews>
  <sheetFormatPr defaultRowHeight="15"/>
  <cols>
    <col min="1" max="1" width="18" customWidth="1"/>
    <col min="2" max="2" width="19.42578125" customWidth="1"/>
    <col min="3" max="3" width="20.5703125" customWidth="1"/>
    <col min="5" max="6" width="20" customWidth="1"/>
    <col min="7" max="7" width="23.5703125" bestFit="1" customWidth="1"/>
  </cols>
  <sheetData>
    <row r="1" spans="1:7" s="1" customFormat="1" ht="15.75" thickBot="1">
      <c r="A1" s="1" t="s">
        <v>0</v>
      </c>
      <c r="B1" s="1" t="s">
        <v>3</v>
      </c>
      <c r="C1" s="1" t="s">
        <v>28</v>
      </c>
      <c r="D1" s="1" t="s">
        <v>23</v>
      </c>
      <c r="E1" s="1" t="s">
        <v>24</v>
      </c>
      <c r="F1" s="1" t="s">
        <v>25</v>
      </c>
      <c r="G1" s="1" t="s">
        <v>26</v>
      </c>
    </row>
    <row r="2" spans="1:7" ht="29.25" thickBot="1">
      <c r="A2" s="4" t="s">
        <v>13</v>
      </c>
      <c r="B2">
        <f>GETPIVOTDATA("Sum of total_revenue",pivot_table!$A$3,"category",A2)</f>
        <v>9790</v>
      </c>
      <c r="C2" s="9">
        <f>VLOOKUP(A2, 'Category targets'!A:B, 2, FALSE)</f>
        <v>12000</v>
      </c>
      <c r="D2" s="9">
        <f>C2-B2</f>
        <v>2210</v>
      </c>
      <c r="E2">
        <f>((B2-C2)/C2)*100</f>
        <v>-18.416666666666668</v>
      </c>
      <c r="F2" t="str">
        <f>IF(B2&gt;=C2, "Above Target", IF(ABS(E2)&lt;=15, "Below Target - Watch", "Below Target - Critical"))</f>
        <v>Below Target - Critical</v>
      </c>
      <c r="G2" t="s">
        <v>27</v>
      </c>
    </row>
    <row r="3" spans="1:7" ht="15.75" thickBot="1">
      <c r="A3" s="5" t="s">
        <v>12</v>
      </c>
      <c r="B3">
        <f>GETPIVOTDATA("Sum of total_revenue",pivot_table!$A$3,"category",A3)</f>
        <v>14090</v>
      </c>
      <c r="C3" s="9">
        <f>VLOOKUP(A3, 'Category targets'!A:B, 2, FALSE)</f>
        <v>16500</v>
      </c>
      <c r="D3" s="9">
        <f t="shared" ref="D3:D7" si="0">C3-B3</f>
        <v>2410</v>
      </c>
      <c r="E3">
        <f t="shared" ref="E3:E7" si="1">((B3-C3)/C3)*100</f>
        <v>-14.606060606060606</v>
      </c>
      <c r="F3" t="str">
        <f t="shared" ref="F3:F7" si="2">IF(B3&gt;=C3, "Above Target", IF(ABS(E3)&lt;=15, "Below Target - Watch", "Below Target - Critical"))</f>
        <v>Below Target - Watch</v>
      </c>
      <c r="G3" t="s">
        <v>27</v>
      </c>
    </row>
    <row r="4" spans="1:7" ht="29.25" thickBot="1">
      <c r="A4" s="4" t="s">
        <v>16</v>
      </c>
      <c r="B4">
        <f>GETPIVOTDATA("Sum of total_revenue",pivot_table!$A$3,"category",A4)</f>
        <v>10895</v>
      </c>
      <c r="C4" s="9">
        <f>VLOOKUP(A4, 'Category targets'!A:B, 2, FALSE)</f>
        <v>13000</v>
      </c>
      <c r="D4" s="9">
        <f t="shared" si="0"/>
        <v>2105</v>
      </c>
      <c r="E4">
        <f t="shared" si="1"/>
        <v>-16.192307692307693</v>
      </c>
      <c r="F4" t="str">
        <f t="shared" si="2"/>
        <v>Below Target - Critical</v>
      </c>
      <c r="G4" t="s">
        <v>27</v>
      </c>
    </row>
    <row r="5" spans="1:7" ht="15.75" thickBot="1">
      <c r="A5" s="5" t="s">
        <v>15</v>
      </c>
      <c r="B5">
        <f>GETPIVOTDATA("Sum of total_revenue",pivot_table!$A$3,"category",A5)</f>
        <v>16382</v>
      </c>
      <c r="C5" s="9">
        <f>VLOOKUP(A5, 'Category targets'!A:B, 2, FALSE)</f>
        <v>15500</v>
      </c>
      <c r="D5" s="9">
        <f t="shared" si="0"/>
        <v>-882</v>
      </c>
      <c r="E5">
        <f t="shared" si="1"/>
        <v>5.6903225806451614</v>
      </c>
      <c r="F5" t="str">
        <f t="shared" si="2"/>
        <v>Above Target</v>
      </c>
      <c r="G5" t="s">
        <v>27</v>
      </c>
    </row>
    <row r="6" spans="1:7" ht="29.25" thickBot="1">
      <c r="A6" s="4" t="s">
        <v>14</v>
      </c>
      <c r="B6">
        <f>GETPIVOTDATA("Sum of total_revenue",pivot_table!$A$3,"category",A6)</f>
        <v>21715</v>
      </c>
      <c r="C6" s="9">
        <f>VLOOKUP(A6, 'Category targets'!A:B, 2, FALSE)</f>
        <v>17000</v>
      </c>
      <c r="D6" s="9">
        <f t="shared" si="0"/>
        <v>-4715</v>
      </c>
      <c r="E6">
        <f t="shared" si="1"/>
        <v>27.735294117647058</v>
      </c>
      <c r="F6" t="str">
        <f t="shared" si="2"/>
        <v>Above Target</v>
      </c>
      <c r="G6" t="s">
        <v>27</v>
      </c>
    </row>
    <row r="7" spans="1:7" ht="15.75" thickBot="1">
      <c r="A7" s="5" t="s">
        <v>5</v>
      </c>
      <c r="B7">
        <f>GETPIVOTDATA("Sum of total_revenue",pivot_table!$A$3,"category",A7)</f>
        <v>15410</v>
      </c>
      <c r="C7" s="9">
        <f>VLOOKUP(A7, 'Category targets'!A:B, 2, FALSE)</f>
        <v>12000</v>
      </c>
      <c r="D7" s="9">
        <f t="shared" si="0"/>
        <v>-3410</v>
      </c>
      <c r="E7">
        <f t="shared" si="1"/>
        <v>28.416666666666668</v>
      </c>
      <c r="F7" t="str">
        <f t="shared" si="2"/>
        <v>Above Target</v>
      </c>
      <c r="G7" t="s">
        <v>27</v>
      </c>
    </row>
  </sheetData>
  <conditionalFormatting sqref="F2:F7">
    <cfRule type="cellIs" dxfId="5" priority="6" operator="equal">
      <formula>"Above Target"</formula>
    </cfRule>
    <cfRule type="cellIs" dxfId="6" priority="5" operator="equal">
      <formula>"below target"</formula>
    </cfRule>
    <cfRule type="cellIs" dxfId="7" priority="3" operator="equal">
      <formula>"Below Target"</formula>
    </cfRule>
    <cfRule type="cellIs" dxfId="8" priority="2" operator="equal">
      <formula>"Below Target - Watch"</formula>
    </cfRule>
    <cfRule type="cellIs" dxfId="4" priority="1" operator="equal">
      <formula>"Below Target - Critical"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pivot_table</vt:lpstr>
      <vt:lpstr>monthly_category_revenue</vt:lpstr>
      <vt:lpstr>Category targets</vt:lpstr>
      <vt:lpstr>category  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Prajwal Rao</dc:creator>
  <cp:lastModifiedBy>PRAJWAL</cp:lastModifiedBy>
  <dcterms:created xsi:type="dcterms:W3CDTF">2026-09-14T20:14:43Z</dcterms:created>
  <dcterms:modified xsi:type="dcterms:W3CDTF">2026-09-14T20:19:01Z</dcterms:modified>
</cp:coreProperties>
</file>